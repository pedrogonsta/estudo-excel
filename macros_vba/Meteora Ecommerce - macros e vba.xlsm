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pedro\Documents\Estudo\Excel\macros_vba\"/>
    </mc:Choice>
  </mc:AlternateContent>
  <xr:revisionPtr revIDLastSave="0" documentId="13_ncr:1_{3ECDA96E-994C-468B-935E-B5A318B0CA35}" xr6:coauthVersionLast="47" xr6:coauthVersionMax="47" xr10:uidLastSave="{00000000-0000-0000-0000-000000000000}"/>
  <bookViews>
    <workbookView xWindow="-120" yWindow="-120" windowWidth="29040" windowHeight="15840" tabRatio="698" activeTab="2" xr2:uid="{F6D97A53-F63B-4272-A181-44B26E0B790F}"/>
  </bookViews>
  <sheets>
    <sheet name="Menu" sheetId="25" r:id="rId1"/>
    <sheet name="Produtos" sheetId="17" r:id="rId2"/>
    <sheet name="Filtro Avançado" sheetId="43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Dashboard Histórico" sheetId="40" state="hidden" r:id="rId14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5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  <extLst>
    <ext xmlns:x14="http://schemas.microsoft.com/office/spreadsheetml/2009/9/main" uri="{876F7934-8845-4945-9796-88D515C7AA90}">
      <x14:pivotCaches>
        <pivotCache cacheId="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J5" i="37"/>
  <c r="J6" i="37"/>
  <c r="BK4" i="18"/>
  <c r="M6" i="42"/>
  <c r="M4" i="42"/>
  <c r="M5" i="42"/>
  <c r="J4" i="37"/>
  <c r="K6" i="37"/>
  <c r="N5" i="42"/>
  <c r="AQ4" i="18"/>
  <c r="N4" i="42"/>
  <c r="N6" i="42"/>
  <c r="K4" i="37"/>
  <c r="K5" i="37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A2554D6A-4395-410E-8AC5-554DBF546DD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D3BE0A65-8854-4804-B6A6-EFD836007206}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xr16:uid="{E680CFC7-5590-43CD-9CC3-C3E9A06CDB40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<sst xmlns="http://schemas.openxmlformats.org/spreadsheetml/2006/main" count="1341" uniqueCount="185">
  <si>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</si>
  <si>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</si>
  <si>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</si>
  <si>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</si>
  <si>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</si>
  <si>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</si>
  <si>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</si>
  <si>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</si>
  <si>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</si>
  <si>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</si>
  <si>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</si>
  <si>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</si>
  <si>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</si>
  <si>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</si>
  <si>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</si>
  <si>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</si>
  <si>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</si>
  <si>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</si>
  <si>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</si>
  <si>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</si>
  <si>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</si>
  <si>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</si>
  <si>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</si>
  <si>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</si>
  <si>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</si>
  <si>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</si>
  <si>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</si>
  <si>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</si>
  <si>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</si>
  <si>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</si>
  <si>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</si>
  <si>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</si>
  <si>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</si>
  <si>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</si>
  <si>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</si>
  <si>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</si>
  <si>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</si>
  <si>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</si>
  <si>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</si>
  <si>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</si>
  <si>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</si>
  <si>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</si>
  <si>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</si>
  <si>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</si>
  <si>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</si>
  <si>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</si>
  <si>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</si>
  <si>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</si>
  <si>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</si>
  <si>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</si>
  <si>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</si>
  <si>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</si>
  <si>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</si>
  <si>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</si>
  <si>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</si>
  <si>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</si>
  <si>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</si>
  <si>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</si>
  <si>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</si>
  <si>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</si>
  <si>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</si>
  <si>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</si>
  <si>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</si>
  <si>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</si>
  <si>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</si>
  <si>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</si>
  <si>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</si>
  <si>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</si>
  <si>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</si>
  <si>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</si>
  <si>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</si>
  <si>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</si>
  <si>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</si>
  <si>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</si>
  <si>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</si>
  <si>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</si>
  <si>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</si>
  <si>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</si>
  <si>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</si>
  <si>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</si>
  <si>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</si>
  <si>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</si>
  <si>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</si>
  <si>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</si>
  <si>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</si>
  <si>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</si>
  <si>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</si>
  <si>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</si>
  <si>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</si>
  <si>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</si>
  <si>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</si>
  <si>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</si>
  <si>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</si>
  <si>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</si>
  <si>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</si>
  <si>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</si>
  <si>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</si>
  <si>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</si>
  <si>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</si>
  <si>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</si>
  <si>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</si>
  <si>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</si>
  <si>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</si>
  <si>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</si>
  <si>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</si>
  <si>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</si>
  <si>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</si>
  <si>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</si>
  <si>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</si>
  <si>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</si>
  <si>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</si>
  <si>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</si>
  <si>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</si>
  <si>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</si>
  <si>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</si>
  <si>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</si>
  <si>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</si>
  <si>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</si>
  <si>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</si>
  <si>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</si>
  <si>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</si>
  <si>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</si>
  <si>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</si>
  <si>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</si>
  <si>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</si>
  <si>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</si>
  <si>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</si>
  <si>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</si>
  <si>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</si>
  <si>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</si>
  <si>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</si>
  <si>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</si>
  <si>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</si>
  <si>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</si>
  <si>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</si>
  <si>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</si>
  <si>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</si>
  <si>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</si>
  <si>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</si>
  <si>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</si>
  <si>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</si>
  <si>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</si>
  <si>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</si>
  <si>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</si>
  <si>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</si>
  <si>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</si>
  <si>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</si>
  <si>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</si>
  <si>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</si>
  <si>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</si>
  <si>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</si>
  <si>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</si>
  <si>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</si>
  <si>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</si>
  <si>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</si>
  <si>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</si>
  <si>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</si>
  <si>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</si>
  <si>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</si>
  <si>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</si>
  <si>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</si>
  <si>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</si>
  <si>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</si>
  <si>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</si>
  <si>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</si>
  <si>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</si>
  <si>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</si>
  <si>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</si>
  <si>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</si>
  <si>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</si>
  <si>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</si>
  <si>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</si>
  <si>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</si>
  <si>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</si>
  <si>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</si>
  <si>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</si>
  <si>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</si>
  <si>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</si>
  <si>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</si>
  <si>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</si>
  <si>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</si>
  <si>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</si>
  <si>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</si>
  <si>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</si>
  <si>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&lt;5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</si>
</sst>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30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b/>
      <i/>
      <sz val="18"/>
      <color rgb="FF000000"/>
      <name val="Calibri"/>
      <family val="2"/>
    </font>
    <font>
      <b/>
      <i/>
      <sz val="1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3" fillId="6" borderId="16" xfId="0" applyFont="1" applyFill="1" applyBorder="1" applyAlignment="1">
      <alignment horizontal="center"/>
    </xf>
    <xf numFmtId="0" fontId="13" fillId="6" borderId="18" xfId="0" applyFont="1" applyFill="1" applyBorder="1" applyAlignment="1">
      <alignment horizontal="center"/>
    </xf>
    <xf numFmtId="0" fontId="13" fillId="6" borderId="17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/>
    <xf numFmtId="0" fontId="0" fillId="0" borderId="5" xfId="0" applyFont="1" applyBorder="1" applyAlignment="1">
      <alignment horizontal="center"/>
    </xf>
    <xf numFmtId="165" fontId="0" fillId="0" borderId="6" xfId="0" applyNumberFormat="1" applyFont="1" applyBorder="1"/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4"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worksheet" Target="worksheets/sheet10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macros e vba.xlsm]DN_Vendas!TBDN_Vendas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macros e vba.xlsm]DN_Vendedores!TBDN_Vendedores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macros e vba.xlsm]DN_Desafio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macros e vba.xlsm]DN_Desafio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85725</xdr:rowOff>
        </xdr:from>
        <xdr:to>
          <xdr:col>8</xdr:col>
          <xdr:colOff>447675</xdr:colOff>
          <xdr:row>3</xdr:row>
          <xdr:rowOff>114300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8B3096F1-0C3D-DBCC-2744-8B036B5C9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D1C6A12-5F59-E575-3EE8-D2DBB7A6C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135EDE1-0FB3-2E2B-3908-26C8962A5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D65E5787-0405-2EF3-91FB-E7EDE974E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3DBF9D58-C1AF-EBD9-9D4F-456040DC3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D3F9AFD2-D485-5D66-C67F-5237CFB10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C35094F3-251F-4C1A-BE4F-A1AC52798358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FFCB35C7-B7C4-4216-9E77-5042322C87D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FD3A62CA-6EC9-46DC-A04C-0F9BC008226D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F1E5371-819C-4A8F-821F-EED1F859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606CC595-23D9-AA39-5E30-FEF9691C3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1C8E1D4F-E7D3-9417-21C9-19BA60945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112395</xdr:colOff>
      <xdr:row>0</xdr:row>
      <xdr:rowOff>72390</xdr:rowOff>
    </xdr:from>
    <xdr:to>
      <xdr:col>39</xdr:col>
      <xdr:colOff>24765</xdr:colOff>
      <xdr:row>6</xdr:row>
      <xdr:rowOff>11430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55C8C2F2-EAD0-4D49-85BA-73D8CC9BE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6095" y="72390"/>
              <a:ext cx="2179320" cy="6819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2E04E5E5-0638-411E-A67C-B2E60EF970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A17060AB-F2CE-B793-A6B6-80CB9E621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26DC38C2-3815-84C2-0735-F2516A4CE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75B6E8F8-D838-65E3-3763-C02736F9C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EDEE87F4-27C9-4CB7-8C2D-4D4D54EBE19E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772F6B85-AB6E-449A-5325-A2D6E4E4D4D7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8D38B9D9-E5D9-2A19-0334-8736E6480AE6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57150</xdr:colOff>
          <xdr:row>1</xdr:row>
          <xdr:rowOff>19050</xdr:rowOff>
        </xdr:from>
        <xdr:to>
          <xdr:col>93</xdr:col>
          <xdr:colOff>123825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Consulta</a:t>
              </a:r>
            </a:p>
            <a:p>
              <a:pPr algn="ctr" rtl="0">
                <a:defRPr sz="1000"/>
              </a:pPr>
              <a:endParaRPr lang="pt-BR" sz="1800" b="1" i="1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47625</xdr:colOff>
          <xdr:row>9</xdr:row>
          <xdr:rowOff>66675</xdr:rowOff>
        </xdr:from>
        <xdr:to>
          <xdr:col>93</xdr:col>
          <xdr:colOff>104775</xdr:colOff>
          <xdr:row>15</xdr:row>
          <xdr:rowOff>95250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Dinâmica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79951527778" backgroundQuery="1" createdVersion="8" refreshedVersion="8" minRefreshableVersion="3" recordCount="0" supportSubquery="1" supportAdvancedDrill="1" xr:uid="{43500E51-CEBE-48B0-881F-FF3439F00E5D}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799516087965" backgroundQuery="1" createdVersion="8" refreshedVersion="8" minRefreshableVersion="3" recordCount="0" supportSubquery="1" supportAdvancedDrill="1" xr:uid="{B695F69F-2F1C-453F-91B3-5A1150E2C639}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799517013889" backgroundQuery="1" createdVersion="8" refreshedVersion="8" minRefreshableVersion="3" recordCount="0" supportSubquery="1" supportAdvancedDrill="1" xr:uid="{0E9C5593-B01E-4C8F-AFAD-4007B27D76B7}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Henricky" refreshedDate="45738.799517361113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800895601853" backgroundQuery="1" createdVersion="8" refreshedVersion="8" minRefreshableVersion="3" recordCount="0" supportSubquery="1" supportAdvancedDrill="1" xr:uid="{EADC4531-0F0B-4302-9DDC-637E2264183C}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800895949076" backgroundQuery="1" createdVersion="8" refreshedVersion="8" minRefreshableVersion="3" recordCount="0" supportSubquery="1" supportAdvancedDrill="1" xr:uid="{23BCA363-7CED-4773-ADD8-92D5AB426B1D}">
  <cacheSource type="external" connectionId="2"/>
  <cacheFields count="3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800896180554" createdVersion="5" refreshedVersion="8" minRefreshableVersion="3" recordCount="0" supportSubquery="1" supportAdvancedDrill="1" xr:uid="{9AEFBECE-26A2-486F-9573-9C3E7488B6DD}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 Henricky" refreshedDate="45738.7995099537" backgroundQuery="1" createdVersion="3" refreshedVersion="8" minRefreshableVersion="3" recordCount="0" supportSubquery="1" supportAdvancedDrill="1" xr:uid="{47C425D3-A421-404B-8B1D-F3F2E1DA9679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14670497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2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0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4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4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6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5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1146704972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1146704972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3">
  <tableColumns count="6">
    <tableColumn id="1" xr3:uid="{2F8ED5FF-48A1-488E-9DF1-FE060F71A415}" name="Código" dataDxfId="32"/>
    <tableColumn id="2" xr3:uid="{E100D4E2-C3A0-43FF-A1D9-90A4BC2A9918}" name="Produtos"/>
    <tableColumn id="3" xr3:uid="{2EF7FEE0-6B6F-4534-86A0-46B6555B7BEF}" name="Tamanho" dataDxfId="31"/>
    <tableColumn id="4" xr3:uid="{4435A4B8-E7F0-4D66-A4F8-6A9FEAA36D5A}" name="Categoria"/>
    <tableColumn id="6" xr3:uid="{15F9CACC-A558-4A20-80CF-C2ADA2603221}" name="Estoque" dataDxfId="30"/>
    <tableColumn id="5" xr3:uid="{CA8AD0DE-58EC-4839-85FB-1DD75DA28087}" name="Preço Unitário" dataDxfId="2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7" dataDxfId="26" headerRowCellStyle="Cabeçalho Meteora">
  <autoFilter ref="A4:M86" xr:uid="{AD739091-30BD-4C30-BDDA-7504C0C4B6E2}"/>
  <tableColumns count="13">
    <tableColumn id="7" xr3:uid="{5E8DE7C3-CDB6-4314-A5CC-C44D3C21973F}" name="Nº" dataDxfId="25">
      <calculatedColumnFormula>MONTH(TB_Vendas[[#This Row],[Data]])</calculatedColumnFormula>
    </tableColumn>
    <tableColumn id="1" xr3:uid="{43632F1F-6978-4CE7-BB13-7CCE587D6821}" name="Data" dataDxfId="24"/>
    <tableColumn id="12" xr3:uid="{205A55AB-454E-4288-AE23-042C3C399E7A}" name="Código" dataDxfId="23"/>
    <tableColumn id="16" xr3:uid="{059789B1-50A2-47F3-849D-D1EE26B94731}" name="Categoria" dataDxfId="22">
      <calculatedColumnFormula>_xlfn.XLOOKUP(TB_Vendas[[#This Row],[Código]],TB_Produtos[Código],TB_Produtos[Categoria])</calculatedColumnFormula>
    </tableColumn>
    <tableColumn id="5" xr3:uid="{7DC2ADED-AF8A-4BC8-A38E-FEF676FE49C9}" name="Qtd" dataDxfId="21"/>
    <tableColumn id="9" xr3:uid="{05B7315B-2774-41BC-AFEC-4A19E452D6C7}" name="Preço Unitário" dataDxfId="20">
      <calculatedColumnFormula>VLOOKUP(TB_Vendas[[#This Row],[Código]],Produtos!$B$6:$G$66,6,0)</calculatedColumnFormula>
    </tableColumn>
    <tableColumn id="18" xr3:uid="{152BED38-8D5F-4FAA-8C38-58740E2353E5}" name="Indice" dataDxfId="19">
      <calculatedColumnFormula>_xlfn.XMATCH(TB_Vendas[[#This Row],[Categoria]],Desc_Categorias,0)</calculatedColumnFormula>
    </tableColumn>
    <tableColumn id="17" xr3:uid="{C4E78734-94D7-4D31-B07D-5609B855AC0F}" name="Desconto _x000a_(Passo a Passo)" dataDxfId="18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7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6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5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4">
      <calculatedColumnFormula>TB_Vendas[[#This Row],[Preço Unitário]]*TB_Vendas[[#This Row],[Qtd]]</calculatedColumnFormula>
    </tableColumn>
    <tableColumn id="8" xr3:uid="{192FEBCA-1287-48A6-9BE6-69528F71C305}" name="Vendedor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12"/>
    <tableColumn id="2" xr3:uid="{8AEDD25B-97D5-4F29-9E05-99E0F581FFD0}" uniqueName="2" name="Código" queryTableFieldId="2" dataDxfId="11"/>
    <tableColumn id="3" xr3:uid="{709E2B07-FCC3-4092-AFD5-DD4C42111BA7}" uniqueName="3" name="Categoria" queryTableFieldId="3" dataDxfId="10"/>
    <tableColumn id="4" xr3:uid="{1DA1A178-A310-40AC-ADC3-BB6B2578BE83}" uniqueName="4" name="Qtd" queryTableFieldId="4"/>
    <tableColumn id="5" xr3:uid="{B78978B8-9604-4C63-8E58-B963C369D02F}" uniqueName="5" name="Preço Unitário" queryTableFieldId="5" dataDxfId="9"/>
    <tableColumn id="6" xr3:uid="{35D35E7B-E105-4C8E-8834-D0374F5F3913}" uniqueName="6" name="Desconto Final" queryTableFieldId="6" dataDxfId="8" dataCellStyle="Porcentagem"/>
    <tableColumn id="7" xr3:uid="{97EA9BBD-5832-4CF9-8A16-E7D130E66998}" uniqueName="7" name="Total" queryTableFieldId="7" dataDxfId="7"/>
    <tableColumn id="8" xr3:uid="{F8A9DE59-C42E-40A8-8FDB-D7AA186B5667}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Relationship Id="rId5" Type="http://schemas.microsoft.com/office/2007/relationships/slicer" Target="../slicers/slicer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2" spans="1:1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</row>
    <row r="3" spans="1:1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31" activePane="bottomLeft" state="frozen"/>
      <selection pane="bottomLeft" activeCell="C1" sqref="C1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1429A-8770-4720-9FC7-4BFF16192803}">
  <sheetPr codeName="Planilha14"/>
  <dimension ref="A1:F64"/>
  <sheetViews>
    <sheetView tabSelected="1" workbookViewId="0">
      <selection activeCell="C11" sqref="C11"/>
    </sheetView>
  </sheetViews>
  <sheetFormatPr defaultRowHeight="15"/>
  <cols>
    <col min="1" max="1" width="9.7109375" bestFit="1" customWidth="1"/>
    <col min="2" max="2" width="12.28515625" bestFit="1" customWidth="1"/>
    <col min="3" max="3" width="12.5703125" bestFit="1" customWidth="1"/>
    <col min="4" max="4" width="13" bestFit="1" customWidth="1"/>
    <col min="5" max="5" width="11.140625" bestFit="1" customWidth="1"/>
    <col min="6" max="6" width="18.85546875" bestFit="1" customWidth="1"/>
  </cols>
  <sheetData>
    <row r="1" spans="1:6" ht="18.75">
      <c r="A1" s="114" t="s">
        <v>30</v>
      </c>
      <c r="B1" s="115" t="s">
        <v>0</v>
      </c>
      <c r="C1" s="115" t="s">
        <v>1</v>
      </c>
      <c r="D1" s="115" t="s">
        <v>10</v>
      </c>
      <c r="E1" s="115" t="s">
        <v>75</v>
      </c>
      <c r="F1" s="116" t="s">
        <v>11</v>
      </c>
    </row>
    <row r="2" spans="1:6" ht="15.75" thickBot="1">
      <c r="A2" s="117"/>
      <c r="B2" s="118"/>
      <c r="C2" s="119"/>
      <c r="D2" s="118"/>
      <c r="E2" s="119" t="s">
        <v>184</v>
      </c>
      <c r="F2" s="120"/>
    </row>
    <row r="4" spans="1:6" ht="18.75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48</v>
      </c>
      <c r="B5" t="s">
        <v>17</v>
      </c>
      <c r="C5" s="1" t="s">
        <v>4</v>
      </c>
      <c r="D5" t="s">
        <v>12</v>
      </c>
      <c r="E5" s="1">
        <v>0</v>
      </c>
      <c r="F5" s="2">
        <v>32.9</v>
      </c>
    </row>
    <row r="6" spans="1:6">
      <c r="A6" s="1" t="s">
        <v>49</v>
      </c>
      <c r="B6" t="s">
        <v>7</v>
      </c>
      <c r="C6" s="1" t="s">
        <v>8</v>
      </c>
      <c r="D6" t="s">
        <v>13</v>
      </c>
      <c r="E6" s="1">
        <v>2</v>
      </c>
      <c r="F6" s="2">
        <v>49.9</v>
      </c>
    </row>
    <row r="7" spans="1:6">
      <c r="A7" s="1"/>
      <c r="C7" s="1"/>
      <c r="E7" s="1"/>
      <c r="F7" s="2"/>
    </row>
    <row r="8" spans="1:6">
      <c r="A8" s="1"/>
      <c r="C8" s="1"/>
      <c r="E8" s="1"/>
      <c r="F8" s="2"/>
    </row>
    <row r="9" spans="1:6">
      <c r="A9" s="1"/>
      <c r="C9" s="1"/>
      <c r="E9" s="1"/>
      <c r="F9" s="2"/>
    </row>
    <row r="10" spans="1:6">
      <c r="A10" s="1"/>
      <c r="C10" s="1"/>
      <c r="E10" s="1"/>
      <c r="F10" s="2"/>
    </row>
    <row r="11" spans="1:6">
      <c r="A11" s="1"/>
      <c r="C11" s="1"/>
      <c r="E11" s="1"/>
      <c r="F11" s="2"/>
    </row>
    <row r="12" spans="1:6">
      <c r="A12" s="1"/>
      <c r="C12" s="1"/>
      <c r="E12" s="1"/>
      <c r="F12" s="2"/>
    </row>
    <row r="13" spans="1:6">
      <c r="A13" s="1"/>
      <c r="C13" s="1"/>
      <c r="E13" s="1"/>
      <c r="F13" s="2"/>
    </row>
    <row r="14" spans="1:6">
      <c r="A14" s="1"/>
      <c r="C14" s="1"/>
      <c r="E14" s="1"/>
      <c r="F14" s="8"/>
    </row>
    <row r="15" spans="1:6">
      <c r="A15" s="1"/>
      <c r="C15" s="1"/>
      <c r="E15" s="1"/>
      <c r="F15" s="8"/>
    </row>
    <row r="16" spans="1:6">
      <c r="A16" s="1"/>
      <c r="C16" s="1"/>
      <c r="E16" s="1"/>
      <c r="F16" s="8"/>
    </row>
    <row r="17" spans="1:6">
      <c r="A17" s="1"/>
      <c r="C17" s="1"/>
      <c r="E17" s="1"/>
      <c r="F17" s="8"/>
    </row>
    <row r="18" spans="1:6">
      <c r="A18" s="1"/>
      <c r="C18" s="1"/>
      <c r="E18" s="1"/>
      <c r="F18" s="8"/>
    </row>
    <row r="19" spans="1:6">
      <c r="A19" s="1"/>
      <c r="C19" s="1"/>
      <c r="E19" s="1"/>
      <c r="F19" s="2"/>
    </row>
    <row r="20" spans="1:6">
      <c r="A20" s="1"/>
      <c r="C20" s="1"/>
      <c r="E20" s="1"/>
      <c r="F20" s="2"/>
    </row>
    <row r="21" spans="1:6">
      <c r="A21" s="1"/>
      <c r="C21" s="1"/>
      <c r="E21" s="1"/>
      <c r="F21" s="2"/>
    </row>
    <row r="22" spans="1:6">
      <c r="A22" s="1"/>
      <c r="C22" s="1"/>
      <c r="E22" s="1"/>
      <c r="F22" s="2"/>
    </row>
    <row r="23" spans="1:6">
      <c r="A23" s="1"/>
      <c r="C23" s="1"/>
      <c r="E23" s="1"/>
      <c r="F23" s="2"/>
    </row>
    <row r="24" spans="1:6">
      <c r="A24" s="1"/>
      <c r="C24" s="1"/>
      <c r="E24" s="1"/>
      <c r="F24" s="2"/>
    </row>
    <row r="25" spans="1:6">
      <c r="A25" s="1"/>
      <c r="C25" s="1"/>
      <c r="E25" s="1"/>
      <c r="F25" s="2"/>
    </row>
    <row r="26" spans="1:6">
      <c r="A26" s="1"/>
      <c r="C26" s="1"/>
      <c r="E26" s="1"/>
      <c r="F26" s="2"/>
    </row>
    <row r="27" spans="1:6">
      <c r="A27" s="1"/>
      <c r="C27" s="1"/>
      <c r="E27" s="1"/>
      <c r="F27" s="2"/>
    </row>
    <row r="28" spans="1:6">
      <c r="A28" s="1"/>
      <c r="C28" s="1"/>
      <c r="E28" s="1"/>
      <c r="F28" s="2"/>
    </row>
    <row r="29" spans="1:6">
      <c r="A29" s="1"/>
      <c r="C29" s="1"/>
      <c r="E29" s="1"/>
      <c r="F29" s="2"/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2"/>
    </row>
    <row r="33" spans="1:6">
      <c r="A33" s="1"/>
      <c r="C33" s="1"/>
      <c r="E33" s="1"/>
      <c r="F33" s="2"/>
    </row>
    <row r="34" spans="1:6">
      <c r="A34" s="1"/>
      <c r="C34" s="1"/>
      <c r="E34" s="1"/>
      <c r="F34" s="2"/>
    </row>
    <row r="35" spans="1:6">
      <c r="A35" s="1"/>
      <c r="C35" s="1"/>
      <c r="E35" s="1"/>
      <c r="F35" s="2"/>
    </row>
    <row r="36" spans="1:6">
      <c r="A36" s="1"/>
      <c r="C36" s="1"/>
      <c r="E36" s="1"/>
      <c r="F36" s="2"/>
    </row>
    <row r="37" spans="1:6">
      <c r="A37" s="1"/>
      <c r="C37" s="1"/>
      <c r="E37" s="1"/>
      <c r="F37" s="2"/>
    </row>
    <row r="38" spans="1:6">
      <c r="A38" s="1"/>
      <c r="C38" s="1"/>
      <c r="E38" s="1"/>
      <c r="F38" s="2"/>
    </row>
    <row r="39" spans="1:6">
      <c r="A39" s="1"/>
      <c r="C39" s="1"/>
      <c r="E39" s="1"/>
      <c r="F39" s="2"/>
    </row>
    <row r="40" spans="1:6">
      <c r="A40" s="1"/>
      <c r="C40" s="1"/>
      <c r="E40" s="1"/>
      <c r="F40" s="2"/>
    </row>
    <row r="41" spans="1:6">
      <c r="A41" s="1"/>
      <c r="C41" s="1"/>
      <c r="E41" s="1"/>
      <c r="F41" s="2"/>
    </row>
    <row r="42" spans="1:6">
      <c r="A42" s="1"/>
      <c r="C42" s="1"/>
      <c r="E42" s="1"/>
      <c r="F42" s="2"/>
    </row>
    <row r="43" spans="1:6">
      <c r="A43" s="1"/>
      <c r="C43" s="1"/>
      <c r="E43" s="1"/>
      <c r="F43" s="2"/>
    </row>
    <row r="44" spans="1:6">
      <c r="A44" s="1"/>
      <c r="C44" s="1"/>
      <c r="E44" s="1"/>
      <c r="F44" s="8"/>
    </row>
    <row r="45" spans="1:6">
      <c r="A45" s="1"/>
      <c r="C45" s="1"/>
      <c r="E45" s="1"/>
      <c r="F45" s="8"/>
    </row>
    <row r="46" spans="1:6">
      <c r="A46" s="1"/>
      <c r="C46" s="1"/>
      <c r="E46" s="1"/>
      <c r="F46" s="8"/>
    </row>
    <row r="47" spans="1:6">
      <c r="A47" s="1"/>
      <c r="C47" s="1"/>
      <c r="E47" s="1"/>
      <c r="F47" s="8"/>
    </row>
    <row r="48" spans="1:6">
      <c r="A48" s="1"/>
      <c r="C48" s="1"/>
      <c r="E48" s="1"/>
      <c r="F48" s="8"/>
    </row>
    <row r="49" spans="1:6">
      <c r="A49" s="1"/>
      <c r="C49" s="1"/>
      <c r="E49" s="1"/>
      <c r="F49" s="8"/>
    </row>
    <row r="50" spans="1:6">
      <c r="A50" s="1"/>
      <c r="C50" s="1"/>
      <c r="E50" s="1"/>
      <c r="F50" s="8"/>
    </row>
    <row r="51" spans="1:6">
      <c r="A51" s="1"/>
      <c r="C51" s="1"/>
      <c r="E51" s="1"/>
      <c r="F51" s="8"/>
    </row>
    <row r="52" spans="1:6">
      <c r="A52" s="1"/>
      <c r="C52" s="1"/>
      <c r="E52" s="1"/>
      <c r="F52" s="8"/>
    </row>
    <row r="53" spans="1:6">
      <c r="A53" s="1"/>
      <c r="C53" s="1"/>
      <c r="E53" s="1"/>
      <c r="F53" s="8"/>
    </row>
    <row r="54" spans="1:6">
      <c r="A54" s="1"/>
      <c r="C54" s="1"/>
      <c r="E54" s="1"/>
      <c r="F54" s="8"/>
    </row>
    <row r="55" spans="1:6">
      <c r="A55" s="1"/>
      <c r="C55" s="1"/>
      <c r="E55" s="1"/>
      <c r="F55" s="8"/>
    </row>
    <row r="56" spans="1:6">
      <c r="A56" s="1"/>
      <c r="C56" s="1"/>
      <c r="E56" s="1"/>
      <c r="F56" s="8"/>
    </row>
    <row r="57" spans="1:6">
      <c r="A57" s="1"/>
      <c r="C57" s="1"/>
      <c r="E57" s="1"/>
      <c r="F57" s="8"/>
    </row>
    <row r="58" spans="1:6">
      <c r="A58" s="1"/>
      <c r="C58" s="1"/>
      <c r="E58" s="1"/>
      <c r="F58" s="8"/>
    </row>
    <row r="59" spans="1:6">
      <c r="A59" s="1"/>
      <c r="C59" s="1"/>
      <c r="E59" s="1"/>
      <c r="F59" s="8"/>
    </row>
    <row r="60" spans="1:6">
      <c r="A60" s="1"/>
      <c r="C60" s="1"/>
      <c r="E60" s="1"/>
      <c r="F60" s="2"/>
    </row>
    <row r="61" spans="1:6">
      <c r="A61" s="1"/>
      <c r="C61" s="1"/>
      <c r="E61" s="1"/>
      <c r="F61" s="2"/>
    </row>
    <row r="62" spans="1:6">
      <c r="A62" s="1"/>
      <c r="C62" s="1"/>
      <c r="E62" s="1"/>
      <c r="F62" s="2"/>
    </row>
    <row r="63" spans="1:6">
      <c r="A63" s="1"/>
      <c r="C63" s="1"/>
      <c r="E63" s="1"/>
      <c r="F63" s="2"/>
    </row>
    <row r="64" spans="1:6">
      <c r="A64" s="1"/>
      <c r="C64" s="1"/>
      <c r="E64" s="1"/>
      <c r="F64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atualizar_filtro_avancado">
                <anchor moveWithCells="1" sizeWithCells="1">
                  <from>
                    <xdr:col>6</xdr:col>
                    <xdr:colOff>209550</xdr:colOff>
                    <xdr:row>0</xdr:row>
                    <xdr:rowOff>85725</xdr:rowOff>
                  </from>
                  <to>
                    <xdr:col>8</xdr:col>
                    <xdr:colOff>447675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activeCell="C7" sqref="C7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9" t="s">
        <v>82</v>
      </c>
      <c r="C1" s="79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C7" sqref="C7"/>
      <selection pane="bottomLeft" activeCell="C7" sqref="C7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8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130" zoomScaleNormal="130" workbookViewId="0">
      <selection activeCell="C7" sqref="C7"/>
    </sheetView>
  </sheetViews>
  <sheetFormatPr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7.5703125" style="2" bestFit="1" customWidth="1"/>
    <col min="6" max="6" width="16.42578125" style="42" bestFit="1" customWidth="1"/>
    <col min="7" max="7" width="12.7109375" style="2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s="2" t="s">
        <v>11</v>
      </c>
      <c r="F1" s="42" t="s">
        <v>159</v>
      </c>
      <c r="G1" s="2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 s="2">
        <v>245</v>
      </c>
      <c r="F2" s="42">
        <v>0.1</v>
      </c>
      <c r="G2" s="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 s="2">
        <v>255</v>
      </c>
      <c r="F3" s="42">
        <v>0.15</v>
      </c>
      <c r="G3" s="2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 s="2">
        <v>289.89999999999998</v>
      </c>
      <c r="F4" s="42">
        <v>0.1</v>
      </c>
      <c r="G4" s="2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 s="2">
        <v>180</v>
      </c>
      <c r="F5" s="42">
        <v>0.2</v>
      </c>
      <c r="G5" s="2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 s="2">
        <v>180</v>
      </c>
      <c r="F6" s="42">
        <v>0.1</v>
      </c>
      <c r="G6" s="2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 s="2">
        <v>70.900000000000006</v>
      </c>
      <c r="F7" s="42">
        <v>0.15</v>
      </c>
      <c r="G7" s="2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 s="2">
        <v>255</v>
      </c>
      <c r="F8" s="42">
        <v>0.1</v>
      </c>
      <c r="G8" s="2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 s="2">
        <v>72.5</v>
      </c>
      <c r="F9" s="42">
        <v>0.15</v>
      </c>
      <c r="G9" s="2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 s="2">
        <v>289.89999999999998</v>
      </c>
      <c r="F10" s="42">
        <v>0.2</v>
      </c>
      <c r="G10" s="2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 s="2">
        <v>289.89999999999998</v>
      </c>
      <c r="F11" s="42">
        <v>0.1</v>
      </c>
      <c r="G11" s="2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 s="2">
        <v>180</v>
      </c>
      <c r="F12" s="42">
        <v>0.2</v>
      </c>
      <c r="G12" s="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 s="2">
        <v>70.900000000000006</v>
      </c>
      <c r="F13" s="42">
        <v>0.15</v>
      </c>
      <c r="G13" s="2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 s="2">
        <v>120</v>
      </c>
      <c r="F14" s="42">
        <v>0.2</v>
      </c>
      <c r="G14" s="2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 s="2">
        <v>249.9</v>
      </c>
      <c r="F15" s="42">
        <v>0.2</v>
      </c>
      <c r="G15" s="2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 s="2">
        <v>39.9</v>
      </c>
      <c r="F16" s="42">
        <v>0.1</v>
      </c>
      <c r="G16" s="2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 s="2">
        <v>70</v>
      </c>
      <c r="F17" s="42">
        <v>0.15</v>
      </c>
      <c r="G17" s="2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 s="2">
        <v>92.9</v>
      </c>
      <c r="F18" s="42">
        <v>0.15</v>
      </c>
      <c r="G18" s="2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 s="2">
        <v>300</v>
      </c>
      <c r="F19" s="42">
        <v>0.15</v>
      </c>
      <c r="G19" s="2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 s="2">
        <v>65.900000000000006</v>
      </c>
      <c r="F20" s="42">
        <v>0.2</v>
      </c>
      <c r="G20" s="2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 s="2">
        <v>39.9</v>
      </c>
      <c r="F21" s="42">
        <v>0.2</v>
      </c>
      <c r="G21" s="2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 s="2">
        <v>39.9</v>
      </c>
      <c r="F22" s="42">
        <v>0.1</v>
      </c>
      <c r="G22" s="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 s="2">
        <v>85.9</v>
      </c>
      <c r="F23" s="42">
        <v>0.15</v>
      </c>
      <c r="G23" s="2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 s="2">
        <v>32.9</v>
      </c>
      <c r="F24" s="42">
        <v>0.2</v>
      </c>
      <c r="G24" s="2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 s="2">
        <v>54.9</v>
      </c>
      <c r="F25" s="42">
        <v>0.2</v>
      </c>
      <c r="G25" s="2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 s="2">
        <v>42.5</v>
      </c>
      <c r="F26" s="42">
        <v>0.2</v>
      </c>
      <c r="G26" s="2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 s="2">
        <v>89.9</v>
      </c>
      <c r="F27" s="42">
        <v>0.2</v>
      </c>
      <c r="G27" s="2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 s="2">
        <v>259.89999999999998</v>
      </c>
      <c r="F28" s="42">
        <v>0</v>
      </c>
      <c r="G28" s="2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 s="2">
        <v>32.9</v>
      </c>
      <c r="F29" s="42">
        <v>0.15</v>
      </c>
      <c r="G29" s="2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 s="2">
        <v>49.9</v>
      </c>
      <c r="F30" s="42">
        <v>0.15</v>
      </c>
      <c r="G30" s="2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 s="2">
        <v>259.89999999999998</v>
      </c>
      <c r="F31" s="42">
        <v>0.1</v>
      </c>
      <c r="G31" s="2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 s="2">
        <v>349.9</v>
      </c>
      <c r="F32" s="42">
        <v>0</v>
      </c>
      <c r="G32" s="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 s="2">
        <v>49.9</v>
      </c>
      <c r="F33" s="42">
        <v>0.2</v>
      </c>
      <c r="G33" s="2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 s="2">
        <v>70</v>
      </c>
      <c r="F34" s="42">
        <v>0.2</v>
      </c>
      <c r="G34" s="2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 s="2">
        <v>146</v>
      </c>
      <c r="F35" s="42">
        <v>0.15</v>
      </c>
      <c r="G35" s="2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 s="2">
        <v>89.9</v>
      </c>
      <c r="F36" s="42">
        <v>0.15</v>
      </c>
      <c r="G36" s="2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 s="2">
        <v>120</v>
      </c>
      <c r="F37" s="42">
        <v>0.15</v>
      </c>
      <c r="G37" s="2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 s="2">
        <v>259.89999999999998</v>
      </c>
      <c r="F38" s="42">
        <v>0.1</v>
      </c>
      <c r="G38" s="2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 s="2">
        <v>299.89999999999998</v>
      </c>
      <c r="F39" s="42">
        <v>0.1</v>
      </c>
      <c r="G39" s="2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 s="2">
        <v>180</v>
      </c>
      <c r="F40" s="42">
        <v>0.15</v>
      </c>
      <c r="G40" s="2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 s="2">
        <v>299.89999999999998</v>
      </c>
      <c r="F41" s="42">
        <v>0.15</v>
      </c>
      <c r="G41" s="2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 s="2">
        <v>180</v>
      </c>
      <c r="F42" s="42">
        <v>0.15</v>
      </c>
      <c r="G42" s="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 s="2">
        <v>120</v>
      </c>
      <c r="F43" s="42">
        <v>0.15</v>
      </c>
      <c r="G43" s="2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 s="2">
        <v>299.89999999999998</v>
      </c>
      <c r="F44" s="42">
        <v>0.15</v>
      </c>
      <c r="G44" s="2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 s="2">
        <v>93.5</v>
      </c>
      <c r="F45" s="42">
        <v>0.1</v>
      </c>
      <c r="G45" s="2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 s="2">
        <v>289.89999999999998</v>
      </c>
      <c r="F46" s="42">
        <v>0.1</v>
      </c>
      <c r="G46" s="2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 s="2">
        <v>69.900000000000006</v>
      </c>
      <c r="F47" s="42">
        <v>0.1</v>
      </c>
      <c r="G47" s="2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 s="2">
        <v>91.4</v>
      </c>
      <c r="F48" s="42">
        <v>0.15</v>
      </c>
      <c r="G48" s="2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 s="2">
        <v>72.5</v>
      </c>
      <c r="F49" s="42">
        <v>0.15</v>
      </c>
      <c r="G49" s="2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 s="2">
        <v>49.9</v>
      </c>
      <c r="F50" s="42">
        <v>0.2</v>
      </c>
      <c r="G50" s="2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 s="2">
        <v>145</v>
      </c>
      <c r="F51" s="42">
        <v>0.2</v>
      </c>
      <c r="G51" s="2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 s="2">
        <v>46.9</v>
      </c>
      <c r="F52" s="42">
        <v>0.1</v>
      </c>
      <c r="G52" s="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 s="2">
        <v>349.9</v>
      </c>
      <c r="F53" s="42">
        <v>0.15</v>
      </c>
      <c r="G53" s="2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 s="2">
        <v>25.9</v>
      </c>
      <c r="F54" s="42">
        <v>0.2</v>
      </c>
      <c r="G54" s="2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 s="2">
        <v>180</v>
      </c>
      <c r="F55" s="42">
        <v>0.15</v>
      </c>
      <c r="G55" s="2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 s="2">
        <v>259.89999999999998</v>
      </c>
      <c r="F56" s="42">
        <v>0.1</v>
      </c>
      <c r="G56" s="2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 s="2">
        <v>140</v>
      </c>
      <c r="F57" s="42">
        <v>0.2</v>
      </c>
      <c r="G57" s="2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 s="2">
        <v>145</v>
      </c>
      <c r="F58" s="42">
        <v>0.2</v>
      </c>
      <c r="G58" s="2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 s="2">
        <v>255</v>
      </c>
      <c r="F59" s="42">
        <v>0</v>
      </c>
      <c r="G59" s="2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 s="2">
        <v>259.89999999999998</v>
      </c>
      <c r="F60" s="42">
        <v>0.1</v>
      </c>
      <c r="G60" s="2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 s="2">
        <v>32.9</v>
      </c>
      <c r="F61" s="42">
        <v>0.2</v>
      </c>
      <c r="G61" s="2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 s="2">
        <v>92.9</v>
      </c>
      <c r="F62" s="42">
        <v>0.1</v>
      </c>
      <c r="G62" s="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 s="2">
        <v>349.9</v>
      </c>
      <c r="F63" s="42">
        <v>0.2</v>
      </c>
      <c r="G63" s="2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 s="2">
        <v>39.9</v>
      </c>
      <c r="F64" s="42">
        <v>0.2</v>
      </c>
      <c r="G64" s="2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 s="2">
        <v>44.9</v>
      </c>
      <c r="F65" s="42">
        <v>0.15</v>
      </c>
      <c r="G65" s="2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 s="2">
        <v>250</v>
      </c>
      <c r="F66" s="42">
        <v>0.15</v>
      </c>
      <c r="G66" s="2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 s="2">
        <v>146</v>
      </c>
      <c r="F67" s="42">
        <v>0.15</v>
      </c>
      <c r="G67" s="2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 s="2">
        <v>299.89999999999998</v>
      </c>
      <c r="F68" s="42">
        <v>0.2</v>
      </c>
      <c r="G68" s="2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 s="2">
        <v>32.9</v>
      </c>
      <c r="F69" s="42">
        <v>0.1</v>
      </c>
      <c r="G69" s="2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 s="2">
        <v>49.9</v>
      </c>
      <c r="F70" s="42">
        <v>0.15</v>
      </c>
      <c r="G70" s="2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 s="2">
        <v>72.5</v>
      </c>
      <c r="F71" s="42">
        <v>0.2</v>
      </c>
      <c r="G71" s="2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 s="2">
        <v>140</v>
      </c>
      <c r="F72" s="42">
        <v>0.2</v>
      </c>
      <c r="G72" s="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 s="2">
        <v>259.89999999999998</v>
      </c>
      <c r="F73" s="42">
        <v>0.15</v>
      </c>
      <c r="G73" s="2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 s="2">
        <v>70.900000000000006</v>
      </c>
      <c r="F74" s="42">
        <v>0.1</v>
      </c>
      <c r="G74" s="2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 s="2">
        <v>180</v>
      </c>
      <c r="F75" s="42">
        <v>0.2</v>
      </c>
      <c r="G75" s="2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 s="2">
        <v>32.9</v>
      </c>
      <c r="F76" s="42">
        <v>0.15</v>
      </c>
      <c r="G76" s="2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 s="2">
        <v>72.5</v>
      </c>
      <c r="F77" s="42">
        <v>0.15</v>
      </c>
      <c r="G77" s="2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 s="2">
        <v>49.9</v>
      </c>
      <c r="F78" s="42">
        <v>0.15</v>
      </c>
      <c r="G78" s="2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 s="2">
        <v>93.5</v>
      </c>
      <c r="F79" s="42">
        <v>0.1</v>
      </c>
      <c r="G79" s="2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 s="2">
        <v>255</v>
      </c>
      <c r="F80" s="42">
        <v>0.15</v>
      </c>
      <c r="G80" s="2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 s="2">
        <v>349.9</v>
      </c>
      <c r="F81" s="42">
        <v>0.15</v>
      </c>
      <c r="G81" s="2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 s="2">
        <v>54.9</v>
      </c>
      <c r="F82" s="42">
        <v>0.2</v>
      </c>
      <c r="G82" s="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 s="2">
        <v>46.9</v>
      </c>
      <c r="F83" s="42">
        <v>0.2</v>
      </c>
      <c r="G83" s="2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 s="2">
        <v>32.9</v>
      </c>
      <c r="F84" s="42">
        <v>0.15</v>
      </c>
      <c r="G84" s="2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 s="2">
        <v>46.9</v>
      </c>
      <c r="F85" s="42">
        <v>0.2</v>
      </c>
      <c r="G85" s="2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 s="2">
        <v>299.89999999999998</v>
      </c>
      <c r="F86" s="42">
        <v>0.15</v>
      </c>
      <c r="G86" s="2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 s="2">
        <v>289.89999999999998</v>
      </c>
      <c r="F87" s="42">
        <v>0.1</v>
      </c>
      <c r="G87" s="2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 s="2">
        <v>300</v>
      </c>
      <c r="F88" s="42">
        <v>0.15</v>
      </c>
      <c r="G88" s="2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 s="2">
        <v>259.89999999999998</v>
      </c>
      <c r="F89" s="42">
        <v>0.1</v>
      </c>
      <c r="G89" s="2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 s="2">
        <v>85.9</v>
      </c>
      <c r="F90" s="42">
        <v>0.2</v>
      </c>
      <c r="G90" s="2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 s="2">
        <v>72.5</v>
      </c>
      <c r="F91" s="42">
        <v>0.2</v>
      </c>
      <c r="G91" s="2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 s="2">
        <v>89.9</v>
      </c>
      <c r="F92" s="42">
        <v>0</v>
      </c>
      <c r="G92" s="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 s="2">
        <v>302.89999999999998</v>
      </c>
      <c r="F93" s="42">
        <v>0.15</v>
      </c>
      <c r="G93" s="2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 s="2">
        <v>32.9</v>
      </c>
      <c r="F94" s="42">
        <v>0.2</v>
      </c>
      <c r="G94" s="2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 s="2">
        <v>70</v>
      </c>
      <c r="F95" s="42">
        <v>0.15</v>
      </c>
      <c r="G95" s="2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 s="2">
        <v>39.9</v>
      </c>
      <c r="F96" s="42">
        <v>0.2</v>
      </c>
      <c r="G96" s="2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 s="2">
        <v>70.900000000000006</v>
      </c>
      <c r="F97" s="42">
        <v>0.15</v>
      </c>
      <c r="G97" s="2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 s="2">
        <v>259.89999999999998</v>
      </c>
      <c r="F98" s="42">
        <v>0.2</v>
      </c>
      <c r="G98" s="2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 s="2">
        <v>289.89999999999998</v>
      </c>
      <c r="F99" s="42">
        <v>0.2</v>
      </c>
      <c r="G99" s="2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 s="2">
        <v>349.9</v>
      </c>
      <c r="F100" s="42">
        <v>0.05</v>
      </c>
      <c r="G100" s="2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 s="2">
        <v>49.9</v>
      </c>
      <c r="F101" s="42">
        <v>0.1</v>
      </c>
      <c r="G101" s="2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 s="2">
        <v>42.5</v>
      </c>
      <c r="F102" s="42">
        <v>0.2</v>
      </c>
      <c r="G102" s="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 s="2">
        <v>32.9</v>
      </c>
      <c r="F103" s="42">
        <v>0.15</v>
      </c>
      <c r="G103" s="2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 s="2">
        <v>72.5</v>
      </c>
      <c r="F104" s="42">
        <v>0.15</v>
      </c>
      <c r="G104" s="2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 s="2">
        <v>250</v>
      </c>
      <c r="F105" s="42">
        <v>0.15</v>
      </c>
      <c r="G105" s="2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 s="2">
        <v>146</v>
      </c>
      <c r="F106" s="42">
        <v>0.15</v>
      </c>
      <c r="G106" s="2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 s="2">
        <v>29.9</v>
      </c>
      <c r="F107" s="42">
        <v>0.15</v>
      </c>
      <c r="G107" s="2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 s="2">
        <v>25.9</v>
      </c>
      <c r="F108" s="42">
        <v>0.1</v>
      </c>
      <c r="G108" s="2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 s="2">
        <v>72.5</v>
      </c>
      <c r="F109" s="42">
        <v>0.15</v>
      </c>
      <c r="G109" s="2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 s="2">
        <v>89.9</v>
      </c>
      <c r="F110" s="42">
        <v>0.1</v>
      </c>
      <c r="G110" s="2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 s="2">
        <v>146</v>
      </c>
      <c r="F111" s="42">
        <v>0.1</v>
      </c>
      <c r="G111" s="2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 s="2">
        <v>89.9</v>
      </c>
      <c r="F112" s="42">
        <v>0.15</v>
      </c>
      <c r="G112" s="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 s="2">
        <v>49.9</v>
      </c>
      <c r="F113" s="42">
        <v>0.15</v>
      </c>
      <c r="G113" s="2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 s="2">
        <v>249.9</v>
      </c>
      <c r="F114" s="42">
        <v>0.1</v>
      </c>
      <c r="G114" s="2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 s="2">
        <v>39.9</v>
      </c>
      <c r="F115" s="42">
        <v>0.15</v>
      </c>
      <c r="G115" s="2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 s="2">
        <v>49.9</v>
      </c>
      <c r="F116" s="42">
        <v>0.15</v>
      </c>
      <c r="G116" s="2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 s="2">
        <v>72.5</v>
      </c>
      <c r="F117" s="42">
        <v>0.2</v>
      </c>
      <c r="G117" s="2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 s="2">
        <v>25.9</v>
      </c>
      <c r="F118" s="42">
        <v>0.1</v>
      </c>
      <c r="G118" s="2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 s="2">
        <v>250</v>
      </c>
      <c r="F119" s="42">
        <v>0.15</v>
      </c>
      <c r="G119" s="2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 s="2">
        <v>259.89999999999998</v>
      </c>
      <c r="F120" s="42">
        <v>0.15</v>
      </c>
      <c r="G120" s="2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 s="2">
        <v>289.89999999999998</v>
      </c>
      <c r="F121" s="42">
        <v>0.2</v>
      </c>
      <c r="G121" s="2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 s="2">
        <v>302.89999999999998</v>
      </c>
      <c r="F122" s="42">
        <v>0.15</v>
      </c>
      <c r="G122" s="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 s="2">
        <v>180</v>
      </c>
      <c r="F123" s="42">
        <v>0.15</v>
      </c>
      <c r="G123" s="2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 s="2">
        <v>65.900000000000006</v>
      </c>
      <c r="F124" s="42">
        <v>0.15</v>
      </c>
      <c r="G124" s="2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 s="2">
        <v>48.9</v>
      </c>
      <c r="F125" s="42">
        <v>0.1</v>
      </c>
      <c r="G125" s="2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 s="2">
        <v>289.89999999999998</v>
      </c>
      <c r="F126" s="42">
        <v>0.15</v>
      </c>
      <c r="G126" s="2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 s="2">
        <v>89.9</v>
      </c>
      <c r="F127" s="42">
        <v>0.15</v>
      </c>
      <c r="G127" s="2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 s="2">
        <v>180</v>
      </c>
      <c r="F128" s="42">
        <v>0.2</v>
      </c>
      <c r="G128" s="2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 s="2">
        <v>54.9</v>
      </c>
      <c r="F129" s="42">
        <v>0.2</v>
      </c>
      <c r="G129" s="2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 s="2">
        <v>91.4</v>
      </c>
      <c r="F130" s="42">
        <v>0.15</v>
      </c>
      <c r="G130" s="2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 s="2">
        <v>289.89999999999998</v>
      </c>
      <c r="F131" s="42">
        <v>0.1</v>
      </c>
      <c r="G131" s="2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 s="2">
        <v>48.9</v>
      </c>
      <c r="F132" s="42">
        <v>0.2</v>
      </c>
      <c r="G132" s="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 s="2">
        <v>259.89999999999998</v>
      </c>
      <c r="F133" s="42">
        <v>0.2</v>
      </c>
      <c r="G133" s="2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 s="2">
        <v>91.4</v>
      </c>
      <c r="F134" s="42">
        <v>0.1</v>
      </c>
      <c r="G134" s="2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 s="2">
        <v>89.9</v>
      </c>
      <c r="F135" s="42">
        <v>0.1</v>
      </c>
      <c r="G135" s="2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 s="2">
        <v>39.9</v>
      </c>
      <c r="F136" s="42">
        <v>0.15</v>
      </c>
      <c r="G136" s="2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 s="2">
        <v>49.9</v>
      </c>
      <c r="F137" s="42">
        <v>0.15</v>
      </c>
      <c r="G137" s="2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 s="2">
        <v>259.89999999999998</v>
      </c>
      <c r="F138" s="42">
        <v>0.2</v>
      </c>
      <c r="G138" s="2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 s="2">
        <v>39.9</v>
      </c>
      <c r="F139" s="42">
        <v>0.15</v>
      </c>
      <c r="G139" s="2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 s="2">
        <v>249.9</v>
      </c>
      <c r="F140" s="42">
        <v>0.1</v>
      </c>
      <c r="G140" s="2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 s="2">
        <v>48.9</v>
      </c>
      <c r="F141" s="42">
        <v>0.15</v>
      </c>
      <c r="G141" s="2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 s="2">
        <v>299.89999999999998</v>
      </c>
      <c r="F142" s="42">
        <v>0.2</v>
      </c>
      <c r="G142" s="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 s="2">
        <v>25.9</v>
      </c>
      <c r="F143" s="42">
        <v>0.2</v>
      </c>
      <c r="G143" s="2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 s="2">
        <v>32.9</v>
      </c>
      <c r="F144" s="42">
        <v>0.2</v>
      </c>
      <c r="G144" s="2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 s="2">
        <v>39.9</v>
      </c>
      <c r="F145" s="42">
        <v>0.15</v>
      </c>
      <c r="G145" s="2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 s="2">
        <v>69.900000000000006</v>
      </c>
      <c r="F146" s="42">
        <v>0.15</v>
      </c>
      <c r="G146" s="2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 s="2">
        <v>259.89999999999998</v>
      </c>
      <c r="F147" s="42">
        <v>0</v>
      </c>
      <c r="G147" s="2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 s="2">
        <v>85.9</v>
      </c>
      <c r="F148" s="42">
        <v>0.1</v>
      </c>
      <c r="G148" s="2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 s="2">
        <v>49.9</v>
      </c>
      <c r="F149" s="42">
        <v>0.2</v>
      </c>
      <c r="G149" s="2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 s="2">
        <v>39.9</v>
      </c>
      <c r="F150" s="42">
        <v>0.1</v>
      </c>
      <c r="G150" s="2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 s="2">
        <v>32.9</v>
      </c>
      <c r="F151" s="42">
        <v>0.2</v>
      </c>
      <c r="G151" s="2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 s="2">
        <v>92.9</v>
      </c>
      <c r="F152" s="42">
        <v>0.2</v>
      </c>
      <c r="G152" s="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 s="2">
        <v>39.9</v>
      </c>
      <c r="F153" s="42">
        <v>0.2</v>
      </c>
      <c r="G153" s="2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 s="2">
        <v>48.9</v>
      </c>
      <c r="F154" s="42">
        <v>0.1</v>
      </c>
      <c r="G154" s="2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 s="2">
        <v>249.9</v>
      </c>
      <c r="F155" s="42">
        <v>0.1</v>
      </c>
      <c r="G155" s="2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 s="2">
        <v>249.9</v>
      </c>
      <c r="F156" s="42">
        <v>0.15</v>
      </c>
      <c r="G156" s="2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 s="2">
        <v>29.9</v>
      </c>
      <c r="F157" s="42">
        <v>0.15</v>
      </c>
      <c r="G157" s="2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 s="2">
        <v>72.5</v>
      </c>
      <c r="F158" s="42">
        <v>0.1</v>
      </c>
      <c r="G158" s="2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 s="2">
        <v>146</v>
      </c>
      <c r="F159" s="42">
        <v>0.15</v>
      </c>
      <c r="G159" s="2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 s="2">
        <v>70.900000000000006</v>
      </c>
      <c r="F160" s="42">
        <v>0.15</v>
      </c>
      <c r="G160" s="2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 s="2">
        <v>89.9</v>
      </c>
      <c r="F161" s="42">
        <v>0.2</v>
      </c>
      <c r="G161" s="2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 s="2">
        <v>85.9</v>
      </c>
      <c r="F162" s="42">
        <v>0.15</v>
      </c>
      <c r="G162" s="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 s="2">
        <v>140</v>
      </c>
      <c r="F163" s="42">
        <v>0.1</v>
      </c>
      <c r="G163" s="2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 s="2">
        <v>72.5</v>
      </c>
      <c r="F164" s="42">
        <v>0.15</v>
      </c>
      <c r="G164" s="2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 s="2">
        <v>49.9</v>
      </c>
      <c r="F165" s="42">
        <v>0.15</v>
      </c>
      <c r="G165" s="2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 s="2">
        <v>39.9</v>
      </c>
      <c r="F166" s="42">
        <v>0.15</v>
      </c>
      <c r="G166" s="2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 s="2">
        <v>49.9</v>
      </c>
      <c r="F167" s="42">
        <v>0.15</v>
      </c>
      <c r="G167" s="2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 s="2">
        <v>91.4</v>
      </c>
      <c r="F168" s="42">
        <v>0.2</v>
      </c>
      <c r="G168" s="2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 s="2">
        <v>259.89999999999998</v>
      </c>
      <c r="F169" s="42">
        <v>0.2</v>
      </c>
      <c r="G169" s="2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 s="2">
        <v>146</v>
      </c>
      <c r="F170" s="42">
        <v>0.15</v>
      </c>
      <c r="G170" s="2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 s="2">
        <v>32.9</v>
      </c>
      <c r="F171" s="42">
        <v>0.15</v>
      </c>
      <c r="G171" s="2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 s="2">
        <v>299.89999999999998</v>
      </c>
      <c r="F172" s="42">
        <v>0.15</v>
      </c>
      <c r="G172" s="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 s="2">
        <v>245</v>
      </c>
      <c r="F173" s="42">
        <v>0.2</v>
      </c>
      <c r="G173" s="2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 s="2">
        <v>250</v>
      </c>
      <c r="F174" s="42">
        <v>0.15</v>
      </c>
      <c r="G174" s="2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 s="2">
        <v>46.9</v>
      </c>
      <c r="F175" s="42">
        <v>0.15</v>
      </c>
      <c r="G175" s="2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 s="2">
        <v>140</v>
      </c>
      <c r="F176" s="42">
        <v>0.1</v>
      </c>
      <c r="G176" s="2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 s="2">
        <v>49.9</v>
      </c>
      <c r="F177" s="42">
        <v>0.1</v>
      </c>
      <c r="G177" s="2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 s="2">
        <v>89.9</v>
      </c>
      <c r="F178" s="42">
        <v>0.15</v>
      </c>
      <c r="G178" s="2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 s="2">
        <v>91.4</v>
      </c>
      <c r="F179" s="42">
        <v>0.15</v>
      </c>
      <c r="G179" s="2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 s="2">
        <v>29.9</v>
      </c>
      <c r="F180" s="42">
        <v>0.2</v>
      </c>
      <c r="G180" s="2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 s="2">
        <v>49.9</v>
      </c>
      <c r="F181" s="42">
        <v>0.15</v>
      </c>
      <c r="G181" s="2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 s="2">
        <v>349.9</v>
      </c>
      <c r="F182" s="42">
        <v>0.2</v>
      </c>
      <c r="G182" s="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 s="2">
        <v>49.9</v>
      </c>
      <c r="F183" s="42">
        <v>0.15</v>
      </c>
      <c r="G183" s="2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 s="2">
        <v>180</v>
      </c>
      <c r="F184" s="42">
        <v>0.2</v>
      </c>
      <c r="G184" s="2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 s="2">
        <v>29.9</v>
      </c>
      <c r="F185" s="42">
        <v>0.2</v>
      </c>
      <c r="G185" s="2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 s="2">
        <v>39.9</v>
      </c>
      <c r="F186" s="42">
        <v>0.2</v>
      </c>
      <c r="G186" s="2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 s="2">
        <v>146</v>
      </c>
      <c r="F187" s="42">
        <v>0.1</v>
      </c>
      <c r="G187" s="2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 s="2">
        <v>289.89999999999998</v>
      </c>
      <c r="F188" s="42">
        <v>0.1</v>
      </c>
      <c r="G188" s="2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 s="2">
        <v>39.9</v>
      </c>
      <c r="F189" s="42">
        <v>0.15</v>
      </c>
      <c r="G189" s="2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 s="2">
        <v>91.4</v>
      </c>
      <c r="F190" s="42">
        <v>0.1</v>
      </c>
      <c r="G190" s="2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 s="2">
        <v>72.5</v>
      </c>
      <c r="F191" s="42">
        <v>0.15</v>
      </c>
      <c r="G191" s="2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 s="2">
        <v>146</v>
      </c>
      <c r="F192" s="42">
        <v>0.15</v>
      </c>
      <c r="G192" s="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 s="2">
        <v>250</v>
      </c>
      <c r="F193" s="42">
        <v>0.15</v>
      </c>
      <c r="G193" s="2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 s="2">
        <v>259.89999999999998</v>
      </c>
      <c r="F194" s="42">
        <v>0.1</v>
      </c>
      <c r="G194" s="2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 s="2">
        <v>32.9</v>
      </c>
      <c r="F195" s="42">
        <v>0.15</v>
      </c>
      <c r="G195" s="2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 s="2">
        <v>89.9</v>
      </c>
      <c r="F196" s="42">
        <v>0.2</v>
      </c>
      <c r="G196" s="2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 s="2">
        <v>250</v>
      </c>
      <c r="F197" s="42">
        <v>0.1</v>
      </c>
      <c r="G197" s="2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 s="2">
        <v>49.9</v>
      </c>
      <c r="F198" s="42">
        <v>0.15</v>
      </c>
      <c r="G198" s="2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 s="2">
        <v>91.4</v>
      </c>
      <c r="F199" s="42">
        <v>0.1</v>
      </c>
      <c r="G199" s="2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 s="2">
        <v>289.89999999999998</v>
      </c>
      <c r="F200" s="42">
        <v>0.15</v>
      </c>
      <c r="G200" s="2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 s="2">
        <v>249.9</v>
      </c>
      <c r="F201" s="42">
        <v>0</v>
      </c>
      <c r="G201" s="2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 s="2">
        <v>180</v>
      </c>
      <c r="F202" s="42">
        <v>0.15</v>
      </c>
      <c r="G202" s="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 s="2">
        <v>39.9</v>
      </c>
      <c r="F203" s="42">
        <v>0.2</v>
      </c>
      <c r="G203" s="2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 s="2">
        <v>289.89999999999998</v>
      </c>
      <c r="F204" s="42">
        <v>0.1</v>
      </c>
      <c r="G204" s="2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 s="2">
        <v>91.4</v>
      </c>
      <c r="F205" s="42">
        <v>0.15</v>
      </c>
      <c r="G205" s="2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 s="2">
        <v>89.9</v>
      </c>
      <c r="F206" s="42">
        <v>0.15</v>
      </c>
      <c r="G206" s="2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 s="2">
        <v>32.9</v>
      </c>
      <c r="F207" s="42">
        <v>0.2</v>
      </c>
      <c r="G207" s="2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 s="2">
        <v>245</v>
      </c>
      <c r="F208" s="42">
        <v>0.15</v>
      </c>
      <c r="G208" s="2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 s="2">
        <v>89.9</v>
      </c>
      <c r="F209" s="42">
        <v>0.1</v>
      </c>
      <c r="G209" s="2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 s="2">
        <v>42.5</v>
      </c>
      <c r="F210" s="42">
        <v>0.15</v>
      </c>
      <c r="G210" s="2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 s="2">
        <v>72.5</v>
      </c>
      <c r="F211" s="42">
        <v>0.15</v>
      </c>
      <c r="G211" s="2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 s="2">
        <v>93.5</v>
      </c>
      <c r="F212" s="42">
        <v>0.15</v>
      </c>
      <c r="G212" s="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 s="2">
        <v>250</v>
      </c>
      <c r="F213" s="42">
        <v>0.15</v>
      </c>
      <c r="G213" s="2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 s="2">
        <v>32.9</v>
      </c>
      <c r="F214" s="42">
        <v>0.15</v>
      </c>
      <c r="G214" s="2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 s="2">
        <v>299.89999999999998</v>
      </c>
      <c r="F215" s="42">
        <v>0.15</v>
      </c>
      <c r="G215" s="2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 s="2">
        <v>70.900000000000006</v>
      </c>
      <c r="F216" s="42">
        <v>0.2</v>
      </c>
      <c r="G216" s="2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 s="2">
        <v>32.9</v>
      </c>
      <c r="F217" s="42">
        <v>0.2</v>
      </c>
      <c r="G217" s="2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 s="2">
        <v>69.900000000000006</v>
      </c>
      <c r="F218" s="42">
        <v>0.2</v>
      </c>
      <c r="G218" s="2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 s="2">
        <v>142.9</v>
      </c>
      <c r="F219" s="42">
        <v>0.15</v>
      </c>
      <c r="G219" s="2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 s="2">
        <v>259.89999999999998</v>
      </c>
      <c r="F220" s="42">
        <v>0</v>
      </c>
      <c r="G220" s="2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 s="2">
        <v>49.9</v>
      </c>
      <c r="F221" s="42">
        <v>0.1</v>
      </c>
      <c r="G221" s="2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 s="2">
        <v>289.89999999999998</v>
      </c>
      <c r="F222" s="42">
        <v>0.1</v>
      </c>
      <c r="G222" s="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 s="2">
        <v>65.900000000000006</v>
      </c>
      <c r="F223" s="42">
        <v>0.1</v>
      </c>
      <c r="G223" s="2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 s="2">
        <v>259.89999999999998</v>
      </c>
      <c r="F224" s="42">
        <v>0.1</v>
      </c>
      <c r="G224" s="2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 s="2">
        <v>46.9</v>
      </c>
      <c r="F225" s="42">
        <v>0.2</v>
      </c>
      <c r="G225" s="2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 s="2">
        <v>89.9</v>
      </c>
      <c r="F226" s="42">
        <v>0</v>
      </c>
      <c r="G226" s="2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 s="2">
        <v>142.9</v>
      </c>
      <c r="F227" s="42">
        <v>0.2</v>
      </c>
      <c r="G227" s="2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 s="2">
        <v>72.5</v>
      </c>
      <c r="F228" s="42">
        <v>0.1</v>
      </c>
      <c r="G228" s="2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 s="2">
        <v>69.900000000000006</v>
      </c>
      <c r="F229" s="42">
        <v>0.2</v>
      </c>
      <c r="G229" s="2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 s="2">
        <v>44.9</v>
      </c>
      <c r="F230" s="42">
        <v>0.15</v>
      </c>
      <c r="G230" s="2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 s="2">
        <v>39.9</v>
      </c>
      <c r="F231" s="42">
        <v>0.2</v>
      </c>
      <c r="G231" s="2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 s="2">
        <v>72.5</v>
      </c>
      <c r="F232" s="42">
        <v>0.1</v>
      </c>
      <c r="G232" s="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 s="2">
        <v>54.9</v>
      </c>
      <c r="F233" s="42">
        <v>0.15</v>
      </c>
      <c r="G233" s="2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 s="2">
        <v>72.5</v>
      </c>
      <c r="F234" s="42">
        <v>0.2</v>
      </c>
      <c r="G234" s="2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 s="2">
        <v>72.5</v>
      </c>
      <c r="F235" s="42">
        <v>0.15</v>
      </c>
      <c r="G235" s="2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 s="2">
        <v>89.9</v>
      </c>
      <c r="F236" s="42">
        <v>0.15</v>
      </c>
      <c r="G236" s="2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 s="2">
        <v>89.9</v>
      </c>
      <c r="F237" s="42">
        <v>0.15</v>
      </c>
      <c r="G237" s="2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 s="2">
        <v>70</v>
      </c>
      <c r="F238" s="42">
        <v>0.15</v>
      </c>
      <c r="G238" s="2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 s="2">
        <v>70.900000000000006</v>
      </c>
      <c r="F239" s="42">
        <v>0.15</v>
      </c>
      <c r="G239" s="2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 s="2">
        <v>89.9</v>
      </c>
      <c r="F240" s="42">
        <v>0.15</v>
      </c>
      <c r="G240" s="2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 s="2">
        <v>302.89999999999998</v>
      </c>
      <c r="F241" s="42">
        <v>0.15</v>
      </c>
      <c r="G241" s="2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 s="2">
        <v>32.9</v>
      </c>
      <c r="F242" s="42">
        <v>0.1</v>
      </c>
      <c r="G242" s="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 s="2">
        <v>180</v>
      </c>
      <c r="F243" s="42">
        <v>0.1</v>
      </c>
      <c r="G243" s="2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 s="2">
        <v>32.9</v>
      </c>
      <c r="F244" s="42">
        <v>0.15</v>
      </c>
      <c r="G244" s="2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 s="2">
        <v>89.9</v>
      </c>
      <c r="F245" s="42">
        <v>0.2</v>
      </c>
      <c r="G245" s="2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 s="2">
        <v>250</v>
      </c>
      <c r="F246" s="42">
        <v>0.15</v>
      </c>
      <c r="G246" s="2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 s="2">
        <v>259.89999999999998</v>
      </c>
      <c r="F247" s="42">
        <v>0.2</v>
      </c>
      <c r="G247" s="2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 s="2">
        <v>69.900000000000006</v>
      </c>
      <c r="F248" s="42">
        <v>0.15</v>
      </c>
      <c r="G248" s="2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 s="2">
        <v>89.9</v>
      </c>
      <c r="F249" s="42">
        <v>0.2</v>
      </c>
      <c r="G249" s="2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 s="2">
        <v>89.9</v>
      </c>
      <c r="F250" s="42">
        <v>0.2</v>
      </c>
      <c r="G250" s="2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 s="2">
        <v>72.5</v>
      </c>
      <c r="F251" s="42">
        <v>0.15</v>
      </c>
      <c r="G251" s="2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 s="2">
        <v>69.900000000000006</v>
      </c>
      <c r="F252" s="42">
        <v>0.1</v>
      </c>
      <c r="G252" s="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 s="2">
        <v>289.89999999999998</v>
      </c>
      <c r="F253" s="42">
        <v>0.2</v>
      </c>
      <c r="G253" s="2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0" t="s">
        <v>140</v>
      </c>
      <c r="C4" s="80"/>
      <c r="D4" s="15"/>
      <c r="E4" s="80" t="s">
        <v>147</v>
      </c>
      <c r="F4" s="80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6">
        <v>1482</v>
      </c>
      <c r="C4" s="66">
        <v>5298.699999999998</v>
      </c>
      <c r="E4" s="64" t="s">
        <v>12</v>
      </c>
      <c r="F4" s="75">
        <v>45</v>
      </c>
    </row>
    <row r="5" spans="1:6" ht="15.75">
      <c r="A5" s="65" t="s">
        <v>13</v>
      </c>
      <c r="B5" s="76">
        <v>159</v>
      </c>
      <c r="C5" s="66">
        <v>964.59999999999991</v>
      </c>
      <c r="E5" s="64" t="s">
        <v>13</v>
      </c>
      <c r="F5" s="75">
        <v>6</v>
      </c>
    </row>
    <row r="6" spans="1:6" ht="15.75">
      <c r="A6" s="65" t="s">
        <v>14</v>
      </c>
      <c r="B6" s="76">
        <v>350</v>
      </c>
      <c r="C6" s="66">
        <v>1789.4</v>
      </c>
      <c r="E6" s="64" t="s">
        <v>14</v>
      </c>
      <c r="F6" s="75">
        <v>9</v>
      </c>
    </row>
    <row r="7" spans="1:6">
      <c r="A7" s="64" t="s">
        <v>161</v>
      </c>
      <c r="B7" s="77">
        <v>1991</v>
      </c>
      <c r="C7" s="2">
        <v>8052.6999999999971</v>
      </c>
      <c r="E7" s="64" t="s">
        <v>161</v>
      </c>
      <c r="F7" s="75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75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7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75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75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75">
        <v>17</v>
      </c>
    </row>
    <row r="9" spans="1:11">
      <c r="A9" s="64" t="s">
        <v>171</v>
      </c>
      <c r="B9" s="2">
        <v>3477.7000000000007</v>
      </c>
      <c r="C9" s="75">
        <v>41</v>
      </c>
    </row>
    <row r="10" spans="1:11">
      <c r="A10" s="64" t="s">
        <v>172</v>
      </c>
      <c r="B10" s="2">
        <v>8602.0999999999985</v>
      </c>
      <c r="C10" s="75">
        <v>53</v>
      </c>
    </row>
    <row r="11" spans="1:11">
      <c r="A11" s="64" t="s">
        <v>173</v>
      </c>
      <c r="B11" s="2">
        <v>6373.7</v>
      </c>
      <c r="C11" s="75">
        <v>56</v>
      </c>
    </row>
    <row r="12" spans="1:11">
      <c r="A12" s="64" t="s">
        <v>161</v>
      </c>
      <c r="B12" s="2">
        <v>33304.799999999988</v>
      </c>
      <c r="C12" s="75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1" t="s">
        <v>76</v>
      </c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3"/>
      <c r="AQ2" s="81" t="s">
        <v>77</v>
      </c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3"/>
      <c r="BK2" s="81" t="s">
        <v>78</v>
      </c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3"/>
    </row>
    <row r="3" spans="3:80" ht="9.75" customHeight="1" thickBot="1">
      <c r="W3" s="84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6"/>
      <c r="AQ3" s="84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6"/>
      <c r="BK3" s="84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6"/>
    </row>
    <row r="4" spans="3:80" ht="9.75" customHeight="1">
      <c r="W4" s="87">
        <f>GETPIVOTDATA("Produtos",DN_Produtos!$E$3)</f>
        <v>60</v>
      </c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9"/>
      <c r="AQ4" s="87">
        <f>GETPIVOTDATA("[Measures].[Soma de Qtd]",DN_Vendas!$A$3)</f>
        <v>250</v>
      </c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9"/>
      <c r="BK4" s="96">
        <f>GETPIVOTDATA("[Measures].[Soma de Total]",DN_Vendas!$A$3)</f>
        <v>33304.799999999988</v>
      </c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8"/>
    </row>
    <row r="5" spans="3:80" ht="9.75" customHeight="1">
      <c r="W5" s="90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2"/>
      <c r="AQ5" s="90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2"/>
      <c r="BK5" s="99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1"/>
    </row>
    <row r="6" spans="3:80" ht="9.75" customHeight="1">
      <c r="W6" s="90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2"/>
      <c r="AQ6" s="90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2"/>
      <c r="BK6" s="99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1"/>
    </row>
    <row r="7" spans="3:80" ht="9.75" customHeight="1" thickBot="1">
      <c r="W7" s="93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5"/>
      <c r="AQ7" s="93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5"/>
      <c r="BK7" s="102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  <c r="BW7" s="103"/>
      <c r="BX7" s="103"/>
      <c r="BY7" s="103"/>
      <c r="BZ7" s="103"/>
      <c r="CA7" s="103"/>
      <c r="CB7" s="104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7"/>
    </row>
    <row r="12" spans="3:80" ht="9.75" customHeight="1">
      <c r="C12" s="108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10"/>
    </row>
    <row r="13" spans="3:80" ht="9.75" customHeight="1"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10"/>
    </row>
    <row r="14" spans="3:80" ht="9.75" customHeight="1"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10"/>
    </row>
    <row r="15" spans="3:80" ht="9.75" customHeight="1">
      <c r="C15" s="108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10"/>
    </row>
    <row r="16" spans="3:80" ht="9.75" customHeight="1">
      <c r="C16" s="108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10"/>
    </row>
    <row r="17" spans="3:80" ht="9.75" customHeight="1">
      <c r="C17" s="108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10"/>
    </row>
    <row r="18" spans="3:80" ht="9.75" customHeight="1">
      <c r="C18" s="108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10"/>
    </row>
    <row r="19" spans="3:80" ht="9.75" customHeight="1">
      <c r="C19" s="108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10"/>
    </row>
    <row r="20" spans="3:80" ht="9.75" customHeight="1">
      <c r="C20" s="108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10"/>
    </row>
    <row r="21" spans="3:80" ht="9.75" customHeight="1">
      <c r="C21" s="108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10"/>
    </row>
    <row r="22" spans="3:80" ht="9.75" customHeight="1">
      <c r="C22" s="108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10"/>
    </row>
    <row r="23" spans="3:80" ht="9.75" customHeight="1">
      <c r="C23" s="108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10"/>
    </row>
    <row r="24" spans="3:80" ht="9.75" customHeight="1" thickBot="1">
      <c r="C24" s="111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3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105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7"/>
      <c r="AQ28" s="105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7"/>
    </row>
    <row r="29" spans="3:80" ht="9.75" customHeight="1">
      <c r="C29" s="108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10"/>
      <c r="AQ29" s="108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10"/>
    </row>
    <row r="30" spans="3:80" ht="9.75" customHeight="1">
      <c r="C30" s="108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10"/>
      <c r="AQ30" s="108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10"/>
    </row>
    <row r="31" spans="3:80" ht="9.75" customHeight="1">
      <c r="C31" s="108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10"/>
      <c r="AQ31" s="108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10"/>
    </row>
    <row r="32" spans="3:80" ht="9.75" customHeight="1">
      <c r="C32" s="108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10"/>
      <c r="AQ32" s="108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10"/>
    </row>
    <row r="33" spans="3:80" ht="9.75" customHeight="1">
      <c r="C33" s="108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10"/>
      <c r="AQ33" s="108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10"/>
    </row>
    <row r="34" spans="3:80" ht="9.75" customHeight="1">
      <c r="C34" s="108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10"/>
      <c r="AQ34" s="108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10"/>
    </row>
    <row r="35" spans="3:80" ht="9.75" customHeight="1">
      <c r="C35" s="108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10"/>
      <c r="AQ35" s="108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10"/>
    </row>
    <row r="36" spans="3:80" ht="9.75" customHeight="1">
      <c r="C36" s="108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10"/>
      <c r="AQ36" s="108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10"/>
    </row>
    <row r="37" spans="3:80" ht="9.75" customHeight="1">
      <c r="C37" s="108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10"/>
      <c r="AQ37" s="108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10"/>
    </row>
    <row r="38" spans="3:80" ht="9.75" customHeight="1">
      <c r="C38" s="108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10"/>
      <c r="AQ38" s="108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10"/>
    </row>
    <row r="39" spans="3:80" ht="9.75" customHeight="1">
      <c r="C39" s="108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10"/>
      <c r="AQ39" s="108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10"/>
    </row>
    <row r="40" spans="3:80" ht="9.75" customHeight="1">
      <c r="C40" s="108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10"/>
      <c r="AQ40" s="108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10"/>
    </row>
    <row r="41" spans="3:80" ht="9.75" customHeight="1">
      <c r="C41" s="108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10"/>
      <c r="AQ41" s="108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10"/>
    </row>
    <row r="42" spans="3:80" ht="9.75" customHeight="1">
      <c r="C42" s="108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10"/>
      <c r="AQ42" s="108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10"/>
    </row>
    <row r="43" spans="3:80" ht="9.75" customHeight="1">
      <c r="C43" s="108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10"/>
      <c r="AQ43" s="108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10"/>
    </row>
    <row r="44" spans="3:80" ht="9.75" customHeight="1">
      <c r="C44" s="108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10"/>
      <c r="AQ44" s="108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10"/>
    </row>
    <row r="45" spans="3:80" ht="9.75" customHeight="1">
      <c r="C45" s="108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10"/>
      <c r="AQ45" s="108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10"/>
    </row>
    <row r="46" spans="3:80" ht="9.75" customHeight="1" thickBot="1">
      <c r="C46" s="111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3"/>
      <c r="AQ46" s="111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3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H31" sqref="H31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75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7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75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75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75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75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75">
        <v>133</v>
      </c>
    </row>
    <row r="11" spans="1:14">
      <c r="A11" s="64" t="s">
        <v>173</v>
      </c>
      <c r="B11" s="8">
        <v>21585.8</v>
      </c>
      <c r="C11" s="75">
        <v>147</v>
      </c>
    </row>
    <row r="12" spans="1:14">
      <c r="A12" s="64" t="s">
        <v>177</v>
      </c>
      <c r="B12" s="8">
        <v>19851</v>
      </c>
      <c r="C12" s="75">
        <v>151</v>
      </c>
    </row>
    <row r="13" spans="1:14">
      <c r="A13" s="64" t="s">
        <v>178</v>
      </c>
      <c r="B13" s="8">
        <v>15659.4</v>
      </c>
      <c r="C13" s="75">
        <v>151</v>
      </c>
    </row>
    <row r="14" spans="1:14">
      <c r="A14" s="64" t="s">
        <v>179</v>
      </c>
      <c r="B14" s="8">
        <v>9455.2000000000007</v>
      </c>
      <c r="C14" s="75">
        <v>92</v>
      </c>
    </row>
    <row r="15" spans="1:14">
      <c r="A15" s="64" t="s">
        <v>180</v>
      </c>
      <c r="B15" s="8">
        <v>19742.5</v>
      </c>
      <c r="C15" s="75">
        <v>129</v>
      </c>
    </row>
    <row r="16" spans="1:14">
      <c r="A16" s="64" t="s">
        <v>161</v>
      </c>
      <c r="B16" s="8">
        <v>207441.1</v>
      </c>
      <c r="C16" s="75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zoomScaleNormal="100" workbookViewId="0">
      <selection activeCell="C7" sqref="C7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105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7"/>
    </row>
    <row r="12" spans="3:80" ht="9.75" customHeight="1">
      <c r="C12" s="108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10"/>
    </row>
    <row r="13" spans="3:80" ht="9.75" customHeight="1">
      <c r="C13" s="108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10"/>
    </row>
    <row r="14" spans="3:80" ht="9.75" customHeight="1"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10"/>
    </row>
    <row r="15" spans="3:80" ht="9.75" customHeight="1">
      <c r="C15" s="108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10"/>
    </row>
    <row r="16" spans="3:80" ht="9.75" customHeight="1">
      <c r="C16" s="108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10"/>
    </row>
    <row r="17" spans="3:80" ht="9.75" customHeight="1">
      <c r="C17" s="108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10"/>
    </row>
    <row r="18" spans="3:80" ht="9.75" customHeight="1">
      <c r="C18" s="108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10"/>
    </row>
    <row r="19" spans="3:80" ht="9.75" customHeight="1">
      <c r="C19" s="108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10"/>
    </row>
    <row r="20" spans="3:80" ht="9.75" customHeight="1">
      <c r="C20" s="108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10"/>
    </row>
    <row r="21" spans="3:80" ht="9.75" customHeight="1">
      <c r="C21" s="108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10"/>
    </row>
    <row r="22" spans="3:80" ht="9.75" customHeight="1">
      <c r="C22" s="108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10"/>
    </row>
    <row r="23" spans="3:80" ht="9.75" customHeight="1">
      <c r="C23" s="108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10"/>
    </row>
    <row r="24" spans="3:80" ht="9.75" customHeight="1" thickBot="1">
      <c r="C24" s="111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3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105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7"/>
      <c r="AQ28" s="105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7"/>
    </row>
    <row r="29" spans="3:80" ht="9.75" customHeight="1">
      <c r="C29" s="108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10"/>
      <c r="AQ29" s="108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10"/>
    </row>
    <row r="30" spans="3:80" ht="9.75" customHeight="1">
      <c r="C30" s="108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10"/>
      <c r="AQ30" s="108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10"/>
    </row>
    <row r="31" spans="3:80" ht="9.75" customHeight="1">
      <c r="C31" s="108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10"/>
      <c r="AQ31" s="108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10"/>
    </row>
    <row r="32" spans="3:80" ht="9.75" customHeight="1">
      <c r="C32" s="108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10"/>
      <c r="AQ32" s="108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10"/>
    </row>
    <row r="33" spans="3:80" ht="9.75" customHeight="1">
      <c r="C33" s="108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10"/>
      <c r="AQ33" s="108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10"/>
    </row>
    <row r="34" spans="3:80" ht="9.75" customHeight="1">
      <c r="C34" s="108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10"/>
      <c r="AQ34" s="108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10"/>
    </row>
    <row r="35" spans="3:80" ht="9.75" customHeight="1">
      <c r="C35" s="108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10"/>
      <c r="AQ35" s="108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10"/>
    </row>
    <row r="36" spans="3:80" ht="9.75" customHeight="1">
      <c r="C36" s="108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10"/>
      <c r="AQ36" s="108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10"/>
    </row>
    <row r="37" spans="3:80" ht="9.75" customHeight="1">
      <c r="C37" s="108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10"/>
      <c r="AQ37" s="108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10"/>
    </row>
    <row r="38" spans="3:80" ht="9.75" customHeight="1">
      <c r="C38" s="108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10"/>
      <c r="AQ38" s="108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10"/>
    </row>
    <row r="39" spans="3:80" ht="9.75" customHeight="1">
      <c r="C39" s="108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10"/>
      <c r="AQ39" s="108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10"/>
    </row>
    <row r="40" spans="3:80" ht="9.75" customHeight="1">
      <c r="C40" s="108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10"/>
      <c r="AQ40" s="108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10"/>
    </row>
    <row r="41" spans="3:80" ht="9.75" customHeight="1">
      <c r="C41" s="108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10"/>
      <c r="AQ41" s="108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10"/>
    </row>
    <row r="42" spans="3:80" ht="9.75" customHeight="1">
      <c r="C42" s="108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10"/>
      <c r="AQ42" s="108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10"/>
    </row>
    <row r="43" spans="3:80" ht="9.75" customHeight="1">
      <c r="C43" s="108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10"/>
      <c r="AQ43" s="108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10"/>
    </row>
    <row r="44" spans="3:80" ht="9.75" customHeight="1">
      <c r="C44" s="108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10"/>
      <c r="AQ44" s="108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10"/>
    </row>
    <row r="45" spans="3:80" ht="9.75" customHeight="1">
      <c r="C45" s="108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10"/>
      <c r="AQ45" s="108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10"/>
    </row>
    <row r="46" spans="3:80" ht="9.75" customHeight="1" thickBot="1">
      <c r="C46" s="111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3"/>
      <c r="AQ46" s="111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3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atualizar_consulta_Hist">
                <anchor moveWithCells="1" sizeWithCells="1">
                  <from>
                    <xdr:col>81</xdr:col>
                    <xdr:colOff>57150</xdr:colOff>
                    <xdr:row>1</xdr:row>
                    <xdr:rowOff>19050</xdr:rowOff>
                  </from>
                  <to>
                    <xdr:col>93</xdr:col>
                    <xdr:colOff>123825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atualizar_todasTBDN">
                <anchor moveWithCells="1" sizeWithCells="1">
                  <from>
                    <xdr:col>81</xdr:col>
                    <xdr:colOff>47625</xdr:colOff>
                    <xdr:row>9</xdr:row>
                    <xdr:rowOff>66675</xdr:rowOff>
                  </from>
                  <to>
                    <xdr:col>93</xdr:col>
                    <xdr:colOff>104775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7E0C7BAF-40DC-4B74-98A7-8D734812F189}">
  <ds:schemaRefs/>
</ds:datastoreItem>
</file>

<file path=customXml/itemProps2.xml><?xml version="1.0" encoding="utf-8"?>
<ds:datastoreItem xmlns:ds="http://schemas.openxmlformats.org/officeDocument/2006/customXml" ds:itemID="{B978344E-877F-46A7-8D81-C1940F952A20}">
  <ds:schemaRefs/>
</ds:datastoreItem>
</file>

<file path=customXml/itemProps3.xml><?xml version="1.0" encoding="utf-8"?>
<ds:datastoreItem xmlns:ds="http://schemas.openxmlformats.org/officeDocument/2006/customXml" ds:itemID="{AE46B711-507D-4FA2-AD64-BEFBA75BECF5}">
  <ds:schemaRefs/>
</ds:datastoreItem>
</file>

<file path=customXml/itemProps4.xml><?xml version="1.0" encoding="utf-8"?>
<ds:datastoreItem xmlns:ds="http://schemas.openxmlformats.org/officeDocument/2006/customXml" ds:itemID="{0B4F83D8-0085-491D-B300-BE5F2F7731F5}">
  <ds:schemaRefs/>
</ds:datastoreItem>
</file>

<file path=customXml/itemProps5.xml><?xml version="1.0" encoding="utf-8"?>
<ds:datastoreItem xmlns:ds="http://schemas.openxmlformats.org/officeDocument/2006/customXml" ds:itemID="{41403322-61D8-4C07-B361-867FAC43DDDC}">
  <ds:schemaRefs/>
</ds:datastoreItem>
</file>

<file path=customXml/itemProps6.xml><?xml version="1.0" encoding="utf-8"?>
<ds:datastoreItem xmlns:ds="http://schemas.openxmlformats.org/officeDocument/2006/customXml" ds:itemID="{14F30766-877F-4CEE-8B61-99D4DA6E0404}">
  <ds:schemaRefs/>
</ds:datastoreItem>
</file>

<file path=customXml/itemProps7.xml><?xml version="1.0" encoding="utf-8"?>
<ds:datastoreItem xmlns:ds="http://schemas.openxmlformats.org/officeDocument/2006/customXml" ds:itemID="{25BB5A3F-E346-480A-A7E9-E0ECAAB7F5AC}">
  <ds:schemaRefs/>
</ds:datastoreItem>
</file>

<file path=customXml/itemProps8.xml><?xml version="1.0" encoding="utf-8"?>
<ds:datastoreItem xmlns:ds="http://schemas.openxmlformats.org/officeDocument/2006/customXml" ds:itemID="{A7140D0F-5704-455C-AEE9-2AF1C88808B8}">
  <ds:schemaRefs/>
</ds:datastoreItem>
</file>

<file path=customXml/itemProps9.xml><?xml version="1.0" encoding="utf-8"?>
<ds:datastoreItem xmlns:ds="http://schemas.openxmlformats.org/officeDocument/2006/customXml" ds:itemID="{6E87F8A6-5B3C-4ADE-98DB-48C175F0A2B0}">
  <ds:schemaRefs/>
</ds:datastoreItem>
</file>

<file path=customXml/itemProps10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7E703DC2-5F46-422C-A583-DB730DA69245}">
  <ds:schemaRefs/>
</ds:datastoreItem>
</file>

<file path=customXml/itemProps12.xml><?xml version="1.0" encoding="utf-8"?>
<ds:datastoreItem xmlns:ds="http://schemas.openxmlformats.org/officeDocument/2006/customXml" ds:itemID="{A6D55ACD-20FE-42D4-A241-E646A1FF59CD}">
  <ds:schemaRefs/>
</ds:datastoreItem>
</file>

<file path=customXml/itemProps13.xml><?xml version="1.0" encoding="utf-8"?>
<ds:datastoreItem xmlns:ds="http://schemas.openxmlformats.org/officeDocument/2006/customXml" ds:itemID="{8BD1F459-29F0-476B-BAC0-1F70E583D314}">
  <ds:schemaRefs/>
</ds:datastoreItem>
</file>

<file path=customXml/itemProps14.xml><?xml version="1.0" encoding="utf-8"?>
<ds:datastoreItem xmlns:ds="http://schemas.openxmlformats.org/officeDocument/2006/customXml" ds:itemID="{976831BA-0CE6-4B82-881B-24FD45E1155C}">
  <ds:schemaRefs/>
</ds:datastoreItem>
</file>

<file path=customXml/itemProps15.xml><?xml version="1.0" encoding="utf-8"?>
<ds:datastoreItem xmlns:ds="http://schemas.openxmlformats.org/officeDocument/2006/customXml" ds:itemID="{1E4D3292-F388-451B-A834-DE9698E505D9}">
  <ds:schemaRefs/>
</ds:datastoreItem>
</file>

<file path=customXml/itemProps16.xml><?xml version="1.0" encoding="utf-8"?>
<ds:datastoreItem xmlns:ds="http://schemas.openxmlformats.org/officeDocument/2006/customXml" ds:itemID="{D241DFED-96C7-410B-9EC8-D8F63F7CE5B4}">
  <ds:schemaRefs/>
</ds:datastoreItem>
</file>

<file path=customXml/itemProps17.xml><?xml version="1.0" encoding="utf-8"?>
<ds:datastoreItem xmlns:ds="http://schemas.openxmlformats.org/officeDocument/2006/customXml" ds:itemID="{C6A78C9D-8065-435B-B685-2A7DBBDDC026}">
  <ds:schemaRefs/>
</ds:datastoreItem>
</file>

<file path=customXml/itemProps18.xml><?xml version="1.0" encoding="utf-8"?>
<ds:datastoreItem xmlns:ds="http://schemas.openxmlformats.org/officeDocument/2006/customXml" ds:itemID="{DB0DD2B5-3D61-45C4-B5FB-71993146C7E7}">
  <ds:schemaRefs/>
</ds:datastoreItem>
</file>

<file path=customXml/itemProps19.xml><?xml version="1.0" encoding="utf-8"?>
<ds:datastoreItem xmlns:ds="http://schemas.openxmlformats.org/officeDocument/2006/customXml" ds:itemID="{1D1E7D37-9613-45D5-8EDC-43C010898ABB}">
  <ds:schemaRefs/>
</ds:datastoreItem>
</file>

<file path=customXml/itemProps20.xml><?xml version="1.0" encoding="utf-8"?>
<ds:datastoreItem xmlns:ds="http://schemas.openxmlformats.org/officeDocument/2006/customXml" ds:itemID="{B21C3F93-5E73-42A5-930D-80E9914997CC}">
  <ds:schemaRefs/>
</ds:datastoreItem>
</file>

<file path=customXml/itemProps21.xml><?xml version="1.0" encoding="utf-8"?>
<ds:datastoreItem xmlns:ds="http://schemas.openxmlformats.org/officeDocument/2006/customXml" ds:itemID="{44B6BCB6-5B75-4825-B0CC-FEB1817C362D}">
  <ds:schemaRefs/>
</ds:datastoreItem>
</file>

<file path=customXml/itemProps22.xml><?xml version="1.0" encoding="utf-8"?>
<ds:datastoreItem xmlns:ds="http://schemas.openxmlformats.org/officeDocument/2006/customXml" ds:itemID="{4A8E958C-7F93-4889-B450-DBCB563BE705}">
  <ds:schemaRefs/>
</ds:datastoreItem>
</file>

<file path=customXml/itemProps23.xml><?xml version="1.0" encoding="utf-8"?>
<ds:datastoreItem xmlns:ds="http://schemas.openxmlformats.org/officeDocument/2006/customXml" ds:itemID="{8467EB31-1629-4343-9314-56544F2D7367}">
  <ds:schemaRefs/>
</ds:datastoreItem>
</file>

<file path=customXml/itemProps24.xml><?xml version="1.0" encoding="utf-8"?>
<ds:datastoreItem xmlns:ds="http://schemas.openxmlformats.org/officeDocument/2006/customXml" ds:itemID="{88A8C053-5BCC-4302-A3EC-6CF3242E0B82}">
  <ds:schemaRefs/>
</ds:datastoreItem>
</file>

<file path=customXml/itemProps25.xml><?xml version="1.0" encoding="utf-8"?>
<ds:datastoreItem xmlns:ds="http://schemas.openxmlformats.org/officeDocument/2006/customXml" ds:itemID="{03E72766-9FF3-4E59-B2A3-BC8336C63639}">
  <ds:schemaRefs/>
</ds:datastoreItem>
</file>

<file path=customXml/itemProps26.xml><?xml version="1.0" encoding="utf-8"?>
<ds:datastoreItem xmlns:ds="http://schemas.openxmlformats.org/officeDocument/2006/customXml" ds:itemID="{6C89755F-25D5-451A-81C1-6DD8AF28BA36}">
  <ds:schemaRefs/>
</ds:datastoreItem>
</file>

<file path=customXml/itemProps27.xml><?xml version="1.0" encoding="utf-8"?>
<ds:datastoreItem xmlns:ds="http://schemas.openxmlformats.org/officeDocument/2006/customXml" ds:itemID="{E137AB40-1728-4643-B64A-5DFE56A479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Pedro Henricky</cp:lastModifiedBy>
  <cp:lastPrinted>2023-06-07T14:57:58Z</cp:lastPrinted>
  <dcterms:created xsi:type="dcterms:W3CDTF">2023-06-02T17:54:12Z</dcterms:created>
  <dcterms:modified xsi:type="dcterms:W3CDTF">2025-03-22T23:34:41Z</dcterms:modified>
</cp:coreProperties>
</file>